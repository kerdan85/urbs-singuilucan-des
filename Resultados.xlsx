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i_garciakerdan_tec_mx/Documents/Research/Ivan Puente/Paper/Urbs Models/"/>
    </mc:Choice>
  </mc:AlternateContent>
  <xr:revisionPtr revIDLastSave="86" documentId="8_{5135A342-7068-4AC6-91DC-F6596125608E}" xr6:coauthVersionLast="47" xr6:coauthVersionMax="47" xr10:uidLastSave="{0B0114BE-2C68-4285-AD38-9005232E3036}"/>
  <bookViews>
    <workbookView xWindow="0" yWindow="660" windowWidth="29040" windowHeight="15720" xr2:uid="{6AE80901-A877-411C-B161-1F284557B694}"/>
  </bookViews>
  <sheets>
    <sheet name="C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1" l="1"/>
  <c r="D23" i="1"/>
  <c r="C23" i="1"/>
  <c r="D11" i="1"/>
  <c r="E11" i="1"/>
  <c r="C11" i="1"/>
</calcChain>
</file>

<file path=xl/sharedStrings.xml><?xml version="1.0" encoding="utf-8"?>
<sst xmlns="http://schemas.openxmlformats.org/spreadsheetml/2006/main" count="36" uniqueCount="16">
  <si>
    <t>cost_type</t>
  </si>
  <si>
    <t>costs</t>
  </si>
  <si>
    <t>Invest</t>
  </si>
  <si>
    <t>Fixed</t>
  </si>
  <si>
    <t>Variable</t>
  </si>
  <si>
    <t>Fuel</t>
  </si>
  <si>
    <t>Environmental</t>
  </si>
  <si>
    <t>Revenue</t>
  </si>
  <si>
    <t>Purchase</t>
  </si>
  <si>
    <t>CO2 medio</t>
  </si>
  <si>
    <t>Aislado</t>
  </si>
  <si>
    <t>Proposed</t>
  </si>
  <si>
    <t>Total</t>
  </si>
  <si>
    <t>BAU</t>
  </si>
  <si>
    <t>Construction invest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</si>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</sst>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2" fillId="0" borderId="1" xfId="1" applyFont="1" applyBorder="1" applyAlignment="1">
      <alignment horizontal="center" vertical="top"/>
    </xf>
    <xf numFmtId="164" fontId="0" fillId="0" borderId="1" xfId="1" applyFon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870D-F5A0-439E-80A1-4AC90CFFB980}">
  <dimension ref="A1:E23"/>
  <sheetViews>
    <sheetView tabSelected="1" zoomScaleNormal="100" workbookViewId="0">
      <selection activeCell="E32" sqref="E32"/>
    </sheetView>
  </sheetViews>
  <sheetFormatPr baseColWidth="10" defaultRowHeight="15" x14ac:dyDescent="0.2"/>
  <cols>
    <col min="1" max="1" width="9.5" bestFit="1" customWidth="1"/>
    <col min="2" max="2" width="18.33203125" bestFit="1" customWidth="1"/>
    <col min="3" max="3" width="33.6640625" bestFit="1" customWidth="1"/>
    <col min="4" max="4" width="20.33203125" bestFit="1" customWidth="1"/>
    <col min="5" max="5" width="33.6640625" bestFit="1" customWidth="1"/>
  </cols>
  <sheetData>
    <row r="1" spans="1:5" x14ac:dyDescent="0.2">
      <c r="A1" s="7" t="s">
        <v>11</v>
      </c>
      <c r="B1" s="2"/>
      <c r="C1" s="6" t="s">
        <v>11</v>
      </c>
      <c r="D1" s="6" t="s">
        <v>10</v>
      </c>
      <c r="E1" s="6" t="s">
        <v>9</v>
      </c>
    </row>
    <row r="2" spans="1:5" x14ac:dyDescent="0.2">
      <c r="A2" s="8"/>
      <c r="B2" s="1" t="s">
        <v>0</v>
      </c>
      <c r="C2" s="1" t="s">
        <v>1</v>
      </c>
      <c r="D2" s="1" t="s">
        <v>1</v>
      </c>
      <c r="E2" s="1" t="s">
        <v>1</v>
      </c>
    </row>
    <row r="3" spans="1:5" x14ac:dyDescent="0.2">
      <c r="A3" s="8"/>
      <c r="B3" s="1" t="s">
        <v>14</v>
      </c>
      <c r="C3" s="1" t="s">
        <v>15</v>
      </c>
      <c r="D3" s="1" t="s">
        <v>15</v>
      </c>
      <c r="E3" s="1" t="s">
        <v>15</v>
      </c>
    </row>
    <row r="4" spans="1:5" x14ac:dyDescent="0.2">
      <c r="A4" s="8"/>
      <c r="B4" s="1" t="s">
        <v>2</v>
      </c>
      <c r="C4" s="3">
        <v>65501.637999999999</v>
      </c>
      <c r="D4" s="3">
        <v>75690.504000000001</v>
      </c>
      <c r="E4" s="4">
        <v>72086.978000000003</v>
      </c>
    </row>
    <row r="5" spans="1:5" x14ac:dyDescent="0.2">
      <c r="A5" s="8"/>
      <c r="B5" s="1" t="s">
        <v>3</v>
      </c>
      <c r="C5" s="3">
        <v>10843.313</v>
      </c>
      <c r="D5" s="3">
        <v>11379.205</v>
      </c>
      <c r="E5" s="4">
        <v>11894.635</v>
      </c>
    </row>
    <row r="6" spans="1:5" x14ac:dyDescent="0.2">
      <c r="A6" s="8"/>
      <c r="B6" s="1" t="s">
        <v>4</v>
      </c>
      <c r="C6" s="3">
        <v>0</v>
      </c>
      <c r="D6" s="3">
        <v>0</v>
      </c>
      <c r="E6" s="4">
        <v>0</v>
      </c>
    </row>
    <row r="7" spans="1:5" x14ac:dyDescent="0.2">
      <c r="A7" s="8"/>
      <c r="B7" s="1" t="s">
        <v>5</v>
      </c>
      <c r="C7" s="3">
        <v>6975.5138999999999</v>
      </c>
      <c r="D7" s="3">
        <v>6123.6306000000004</v>
      </c>
      <c r="E7" s="4">
        <v>4338.5734000000002</v>
      </c>
    </row>
    <row r="8" spans="1:5" x14ac:dyDescent="0.2">
      <c r="A8" s="8"/>
      <c r="B8" s="1" t="s">
        <v>6</v>
      </c>
      <c r="C8" s="3">
        <v>0</v>
      </c>
      <c r="D8" s="3">
        <v>0</v>
      </c>
      <c r="E8" s="4">
        <v>2417.1484</v>
      </c>
    </row>
    <row r="9" spans="1:5" x14ac:dyDescent="0.2">
      <c r="A9" s="8"/>
      <c r="B9" s="1" t="s">
        <v>7</v>
      </c>
      <c r="C9" s="3">
        <v>-2972.2986999999998</v>
      </c>
      <c r="D9" s="3">
        <v>0</v>
      </c>
      <c r="E9" s="4">
        <v>-3753.0149999999999</v>
      </c>
    </row>
    <row r="10" spans="1:5" x14ac:dyDescent="0.2">
      <c r="A10" s="8"/>
      <c r="B10" s="1" t="s">
        <v>8</v>
      </c>
      <c r="C10" s="3">
        <v>7369.0470999999998</v>
      </c>
      <c r="D10" s="3">
        <v>0</v>
      </c>
      <c r="E10" s="4">
        <v>4261.1899000000003</v>
      </c>
    </row>
    <row r="11" spans="1:5" x14ac:dyDescent="0.2">
      <c r="A11" s="9"/>
      <c r="B11" s="1" t="s">
        <v>12</v>
      </c>
      <c r="C11" s="5">
        <f>SUM(C4:C10)</f>
        <v>87717.213300000003</v>
      </c>
      <c r="D11" s="5">
        <f t="shared" ref="D11:E11" si="0">SUM(D4:D10)</f>
        <v>93193.339600000007</v>
      </c>
      <c r="E11" s="5">
        <f t="shared" si="0"/>
        <v>91245.509699999995</v>
      </c>
    </row>
    <row r="14" spans="1:5" x14ac:dyDescent="0.2">
      <c r="A14" s="7" t="s">
        <v>13</v>
      </c>
      <c r="B14" s="2"/>
      <c r="C14" s="6" t="s">
        <v>13</v>
      </c>
      <c r="D14" s="6" t="s">
        <v>10</v>
      </c>
      <c r="E14" s="6" t="s">
        <v>9</v>
      </c>
    </row>
    <row r="15" spans="1:5" x14ac:dyDescent="0.2">
      <c r="A15" s="8"/>
      <c r="B15" s="1" t="s">
        <v>0</v>
      </c>
      <c r="C15" s="1" t="s">
        <v>1</v>
      </c>
      <c r="D15" s="1" t="s">
        <v>1</v>
      </c>
      <c r="E15" s="1" t="s">
        <v>1</v>
      </c>
    </row>
    <row r="16" spans="1:5" x14ac:dyDescent="0.2">
      <c r="A16" s="8"/>
      <c r="B16" s="1" t="s">
        <v>2</v>
      </c>
      <c r="C16" s="4">
        <v>130725.47</v>
      </c>
      <c r="D16" s="4">
        <v>148646.07</v>
      </c>
      <c r="E16" s="4">
        <v>162394.12</v>
      </c>
    </row>
    <row r="17" spans="1:5" x14ac:dyDescent="0.2">
      <c r="A17" s="8"/>
      <c r="B17" s="1" t="s">
        <v>3</v>
      </c>
      <c r="C17" s="4">
        <v>18862.712</v>
      </c>
      <c r="D17" s="4">
        <v>20158.223999999998</v>
      </c>
      <c r="E17" s="4">
        <v>22377.006000000001</v>
      </c>
    </row>
    <row r="18" spans="1:5" x14ac:dyDescent="0.2">
      <c r="A18" s="8"/>
      <c r="B18" s="1" t="s">
        <v>4</v>
      </c>
      <c r="C18" s="4">
        <v>0</v>
      </c>
      <c r="D18" s="4">
        <v>0</v>
      </c>
      <c r="E18" s="4">
        <v>0</v>
      </c>
    </row>
    <row r="19" spans="1:5" x14ac:dyDescent="0.2">
      <c r="A19" s="8"/>
      <c r="B19" s="1" t="s">
        <v>5</v>
      </c>
      <c r="C19" s="4">
        <v>6982.1702999999998</v>
      </c>
      <c r="D19" s="4">
        <v>7787.8588</v>
      </c>
      <c r="E19" s="4">
        <v>0</v>
      </c>
    </row>
    <row r="20" spans="1:5" x14ac:dyDescent="0.2">
      <c r="A20" s="8"/>
      <c r="B20" s="1" t="s">
        <v>6</v>
      </c>
      <c r="C20" s="4">
        <v>0</v>
      </c>
      <c r="D20" s="4">
        <v>0</v>
      </c>
      <c r="E20" s="4">
        <v>0</v>
      </c>
    </row>
    <row r="21" spans="1:5" x14ac:dyDescent="0.2">
      <c r="A21" s="8"/>
      <c r="B21" s="1" t="s">
        <v>7</v>
      </c>
      <c r="C21" s="4">
        <v>-5405.1257999999998</v>
      </c>
      <c r="D21" s="4">
        <v>0</v>
      </c>
      <c r="E21" s="4">
        <v>-3554.6695</v>
      </c>
    </row>
    <row r="22" spans="1:5" x14ac:dyDescent="0.2">
      <c r="A22" s="8"/>
      <c r="B22" s="1" t="s">
        <v>8</v>
      </c>
      <c r="C22" s="4">
        <v>14847.796</v>
      </c>
      <c r="D22" s="4">
        <v>0</v>
      </c>
      <c r="E22" s="4">
        <v>0</v>
      </c>
    </row>
    <row r="23" spans="1:5" x14ac:dyDescent="0.2">
      <c r="A23" s="9"/>
      <c r="B23" s="1" t="s">
        <v>12</v>
      </c>
      <c r="C23" s="5">
        <f>SUM(C16:C22)</f>
        <v>166013.02249999999</v>
      </c>
      <c r="D23" s="5">
        <f t="shared" ref="D23" si="1">SUM(D16:D22)</f>
        <v>176592.15279999998</v>
      </c>
      <c r="E23" s="5">
        <f t="shared" ref="E23" si="2">SUM(E16:E22)</f>
        <v>181216.4565</v>
      </c>
    </row>
  </sheetData>
  <mergeCells count="2">
    <mergeCell ref="A14:A23"/>
    <mergeCell ref="A1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Puente</dc:creator>
  <cp:lastModifiedBy>Iván García Kerdan</cp:lastModifiedBy>
  <dcterms:created xsi:type="dcterms:W3CDTF">2026-06-14T22:06:56Z</dcterms:created>
  <dcterms:modified xsi:type="dcterms:W3CDTF">2026-07-11T21:31:16Z</dcterms:modified>
</cp:coreProperties>
</file>